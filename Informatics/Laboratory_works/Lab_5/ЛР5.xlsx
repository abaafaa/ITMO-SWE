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9513C8-BF9B-44AB-8B6F-DA7CD048F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Q5" i="1"/>
  <c r="Q6" i="1"/>
  <c r="Q7" i="1"/>
  <c r="Q8" i="1"/>
  <c r="Q9" i="1"/>
  <c r="Q10" i="1"/>
  <c r="Q4" i="1"/>
  <c r="O5" i="1"/>
  <c r="O6" i="1"/>
  <c r="O7" i="1"/>
  <c r="O8" i="1"/>
  <c r="O9" i="1"/>
  <c r="O10" i="1"/>
  <c r="O4" i="1"/>
  <c r="P5" i="1"/>
  <c r="P6" i="1"/>
  <c r="P7" i="1"/>
  <c r="P8" i="1"/>
  <c r="P9" i="1"/>
  <c r="P10" i="1"/>
  <c r="N5" i="1"/>
  <c r="N6" i="1"/>
  <c r="N7" i="1"/>
  <c r="N8" i="1"/>
  <c r="N9" i="1"/>
  <c r="N10" i="1"/>
  <c r="M5" i="1"/>
  <c r="M6" i="1"/>
  <c r="M7" i="1"/>
  <c r="M8" i="1"/>
  <c r="M9" i="1"/>
  <c r="M10" i="1"/>
  <c r="L5" i="1"/>
  <c r="L6" i="1"/>
  <c r="L7" i="1"/>
  <c r="L8" i="1"/>
  <c r="L9" i="1"/>
  <c r="L10" i="1"/>
  <c r="K5" i="1"/>
  <c r="K6" i="1"/>
  <c r="K7" i="1"/>
  <c r="K8" i="1"/>
  <c r="K9" i="1"/>
  <c r="K10" i="1"/>
  <c r="P4" i="1"/>
  <c r="N4" i="1"/>
  <c r="M4" i="1"/>
  <c r="L4" i="1"/>
  <c r="K4" i="1"/>
  <c r="J5" i="1"/>
  <c r="J6" i="1"/>
  <c r="J7" i="1"/>
  <c r="J8" i="1"/>
  <c r="J9" i="1"/>
  <c r="J10" i="1"/>
  <c r="I5" i="1"/>
  <c r="I6" i="1"/>
  <c r="I7" i="1"/>
  <c r="I8" i="1"/>
  <c r="I9" i="1"/>
  <c r="I10" i="1"/>
  <c r="G8" i="1"/>
  <c r="G7" i="1"/>
  <c r="G5" i="1"/>
  <c r="H5" i="1"/>
  <c r="G6" i="1"/>
  <c r="H6" i="1"/>
  <c r="H7" i="1"/>
  <c r="H8" i="1"/>
  <c r="G9" i="1"/>
  <c r="H9" i="1"/>
  <c r="G10" i="1"/>
  <c r="H10" i="1"/>
  <c r="I4" i="1"/>
  <c r="J4" i="1"/>
  <c r="H4" i="1"/>
  <c r="G4" i="1"/>
  <c r="C4" i="1"/>
  <c r="C5" i="1"/>
  <c r="C6" i="1"/>
  <c r="C8" i="1"/>
  <c r="C9" i="1"/>
  <c r="C10" i="1"/>
  <c r="C11" i="1"/>
  <c r="C12" i="1"/>
  <c r="C13" i="1"/>
  <c r="C14" i="1"/>
  <c r="C15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<sst xmlns="http://schemas.openxmlformats.org/spreadsheetml/2006/main" count="34" uniqueCount="34">
  <si>
    <t>A</t>
  </si>
  <si>
    <t>C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</si>
  <si>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</si>
  <si>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</si>
  <si>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</si>
  <si>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</si>
  <si>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</si>
  <si>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</si>
  <si>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</si>
  <si>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</si>
  <si>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</si>
  <si>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</si>
  <si>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</si>
  <si>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</si>
  <si>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Двоичный код (16 бит)</t>
  </si>
  <si>
    <t>Операция</t>
  </si>
  <si>
    <t>Результат (16 бит)</t>
  </si>
  <si>
    <t>Результат (10)</t>
  </si>
  <si>
    <t>B1 + B2</t>
  </si>
  <si>
    <t>Xᵢ</t>
  </si>
  <si>
    <t>Xⱼ</t>
  </si>
  <si>
    <t>B2 + B3</t>
  </si>
  <si>
    <t>B2 + B7</t>
  </si>
  <si>
    <t>B7 + B8</t>
  </si>
  <si>
    <t>B8 + B9</t>
  </si>
  <si>
    <t>B1 + B8</t>
  </si>
  <si>
    <t>B11 + B3</t>
  </si>
  <si>
    <t>CF</t>
  </si>
  <si>
    <t>OF</t>
  </si>
  <si>
    <t>ZF</t>
  </si>
  <si>
    <t>SF</t>
  </si>
  <si>
    <t>PF</t>
  </si>
  <si>
    <t>AF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</si>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</sst>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Normal="100" workbookViewId="0">
      <selection activeCell="B9" sqref="B9"/>
    </sheetView>
  </sheetViews>
  <sheetFormatPr defaultRowHeight="14.4"/>
  <cols>
    <col min="1" max="1" width="4" bestFit="1" customWidth="1"/>
    <col min="2" max="2" width="6.6640625" bestFit="1" customWidth="1"/>
    <col min="3" max="3" width="20.77734375" bestFit="1" customWidth="1"/>
    <col min="5" max="5" width="12.77734375" customWidth="1"/>
    <col min="6" max="6" width="9.5546875" bestFit="1" customWidth="1"/>
    <col min="7" max="8" width="6.6640625" bestFit="1" customWidth="1"/>
    <col min="9" max="9" width="17.21875" bestFit="1" customWidth="1"/>
    <col min="10" max="10" width="12.77734375" bestFit="1" customWidth="1"/>
    <col min="11" max="11" width="3" bestFit="1" customWidth="1"/>
    <col min="12" max="12" width="3.21875" bestFit="1" customWidth="1"/>
    <col min="13" max="14" width="2.77734375" bestFit="1" customWidth="1"/>
    <col min="15" max="15" width="2.88671875" bestFit="1" customWidth="1"/>
    <col min="16" max="16" width="3" bestFit="1" customWidth="1"/>
    <col min="17" max="17" width="190.109375" bestFit="1" customWidth="1"/>
  </cols>
  <sheetData>
    <row r="1" spans="1:17">
      <c r="A1" t="s">
        <v>0</v>
      </c>
      <c r="B1">
        <v>11101</v>
      </c>
    </row>
    <row r="2" spans="1:17">
      <c r="A2" t="s">
        <v>1</v>
      </c>
      <c r="B2">
        <v>18615</v>
      </c>
      <c r="K2" s="2"/>
      <c r="L2" s="2"/>
      <c r="M2" s="2"/>
      <c r="N2" s="2"/>
      <c r="O2" s="2"/>
      <c r="P2" s="2"/>
    </row>
    <row r="3" spans="1:17">
      <c r="C3" s="1" t="s">
        <v>14</v>
      </c>
      <c r="D3" s="1"/>
      <c r="E3" s="1"/>
      <c r="F3" s="1" t="s">
        <v>15</v>
      </c>
      <c r="G3" s="1" t="s">
        <v>19</v>
      </c>
      <c r="H3" s="1" t="s">
        <v>20</v>
      </c>
      <c r="I3" s="1" t="s">
        <v>16</v>
      </c>
      <c r="J3" s="1" t="s">
        <v>17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t="s">
        <v>33</v>
      </c>
    </row>
    <row r="4" spans="1:17">
      <c r="A4" t="s">
        <v>2</v>
      </c>
      <c r="B4">
        <f>B1</f>
        <v>11101</v>
      </c>
      <c r="C4" t="str">
        <f>_xlfn.BASE(MOD(B4,65536),2,16)</f>
        <v>0010101101011101</v>
      </c>
      <c r="F4" t="s">
        <v>18</v>
      </c>
      <c r="G4">
        <f>B4</f>
        <v>11101</v>
      </c>
      <c r="H4">
        <f>B5</f>
        <v>18615</v>
      </c>
      <c r="I4" s="3" t="str">
        <f>_xlfn.BASE(MOD(G4+H4,65536),2,16)</f>
        <v>0111010000010100</v>
      </c>
      <c r="J4">
        <f>IF(MOD(G4+H4,65536)&gt;=32768,MOD(G4+H4,65536)-65536,MOD(G4+H4,65536))</f>
        <v>29716</v>
      </c>
      <c r="K4">
        <f>IF(G4+H4&gt;=65536,1,0)</f>
        <v>0</v>
      </c>
      <c r="L4">
        <f>IF(AND(G4&gt;=0,H4&gt;=0,J4&lt;0),1,IF(AND(G4&lt;0,H4&lt;0,J4&gt;=0),1,0))</f>
        <v>0</v>
      </c>
      <c r="M4">
        <f>IF(J4=0,1,0)</f>
        <v>0</v>
      </c>
      <c r="N4">
        <f>IF(J4&lt;0,1,0)</f>
        <v>0</v>
      </c>
      <c r="O4">
        <f>IF(MOD(LEN(SUBSTITUTE(RIGHT(I4,8),"0","")),2)=0,1,0)</f>
        <v>1</v>
      </c>
      <c r="P4">
        <f>IF(MOD(G4,16)+MOD(H4,16)&gt;=16,1,0)</f>
        <v>1</v>
      </c>
      <c r="Q4" t="str">
        <f>"Результат "&amp;IF(L4=1,"получен с переполнением (OF=1). ", "получен без переполнения (OF=0). ")
&amp;IF(K4=1,"Обнаружен перенос (CF=1). ","Переноса нет (CF=0). ")
&amp;IF(M4=1,"Результат равен нулю (ZF=1). ","Результат не равен нулю (ZF=0). ")
&amp;IF(N4=1,"Результат отрицательный (SF=1). ","Результат положительный (SF=0). ")
&amp;IF(O4=1,"Чётная чётность младшего байта (PF=1). ","Нечётная чётность младшего байта (PF=0). ")
&amp;IF(P4=1,"Есть вспомогательный перенос (AF=1).","Вспомогательного переноса нет (AF=0).")</f>
        <v>Результат получен без переполнения (OF=0). Переноса нет (CF=0). Результат не равен нулю (ZF=0). Результат положительный (SF=0). Чётная чётность младшего байта (PF=1). Есть вспомогательный перенос (AF=1).</v>
      </c>
    </row>
    <row r="5" spans="1:17">
      <c r="A5" t="s">
        <v>3</v>
      </c>
      <c r="B5">
        <f>B2</f>
        <v>18615</v>
      </c>
      <c r="C5" t="str">
        <f t="shared" ref="C5:C15" si="0">_xlfn.BASE(MOD(B5,65536),2,16)</f>
        <v>0100100010110111</v>
      </c>
      <c r="F5" s="3" t="s">
        <v>21</v>
      </c>
      <c r="G5" s="5">
        <f>B5</f>
        <v>18615</v>
      </c>
      <c r="H5" s="5">
        <f>B6</f>
        <v>29716</v>
      </c>
      <c r="I5" s="3" t="str">
        <f t="shared" ref="I5:I10" si="1">_xlfn.BASE(MOD(G5+H5,65536),2,16)</f>
        <v>1011110011001011</v>
      </c>
      <c r="J5">
        <f t="shared" ref="J5:J10" si="2">IF(MOD(G5+H5,65536)&gt;=32768,MOD(G5+H5,65536)-65536,MOD(G5+H5,65536))</f>
        <v>-17205</v>
      </c>
      <c r="K5">
        <f t="shared" ref="K5:K10" si="3">IF(G5+H5&gt;=65536,1,0)</f>
        <v>0</v>
      </c>
      <c r="L5">
        <f t="shared" ref="L5:L10" si="4">IF(AND(G5&gt;=0,H5&gt;=0,J5&lt;0),1,IF(AND(G5&lt;0,H5&lt;0,J5&gt;=0),1,0))</f>
        <v>1</v>
      </c>
      <c r="M5">
        <f t="shared" ref="M5:M10" si="5">IF(J5=0,1,0)</f>
        <v>0</v>
      </c>
      <c r="N5">
        <f t="shared" ref="N5:N10" si="6">IF(J5&lt;0,1,0)</f>
        <v>1</v>
      </c>
      <c r="O5">
        <f t="shared" ref="O5:O10" si="7">IF(MOD(LEN(SUBSTITUTE(RIGHT(I5,8),"0","")),2)=0,1,0)</f>
        <v>0</v>
      </c>
      <c r="P5">
        <f t="shared" ref="P5:P10" si="8">IF(MOD(G5,16)+MOD(H5,16)&gt;=16,1,0)</f>
        <v>0</v>
      </c>
      <c r="Q5" t="str">
        <f t="shared" ref="Q5:Q10" si="9">"Результат "&amp;IF(L5=1,"получен с переполнением (OF=1). ", "получен без переполнения (OF=0). ")
&amp;IF(K5=1,"Обнаружен перенос (CF=1). ","Переноса нет (CF=0). ")
&amp;IF(M5=1,"Результат равен нулю (ZF=1). ","Результат не равен нулю (ZF=0). ")
&amp;IF(N5=1,"Результат отрицательный (SF=1). ","Результат положительный (SF=0). ")
&amp;IF(O5=1,"Чётная чётность младшего байта (PF=1). ","Нечётная чётность младшего байта (PF=0). ")
&amp;IF(P5=1,"Есть вспомогательный перенос (AF=1).","Вспомогательного переноса нет (AF=0).")</f>
        <v>Результат получен с переполнением (OF=1). Переноса нет (CF=0). Результат не равен нулю (ZF=0). Результат отрицательный (SF=1). Нечётная чётность младшего байта (PF=0). Вспомогательного переноса нет (AF=0).</v>
      </c>
    </row>
    <row r="6" spans="1:17">
      <c r="A6" t="s">
        <v>4</v>
      </c>
      <c r="B6">
        <f>B1+B2</f>
        <v>29716</v>
      </c>
      <c r="C6" t="str">
        <f t="shared" si="0"/>
        <v>0111010000010100</v>
      </c>
      <c r="E6" s="4"/>
      <c r="F6" s="3" t="s">
        <v>22</v>
      </c>
      <c r="G6" s="5">
        <f>B5</f>
        <v>18615</v>
      </c>
      <c r="H6" s="5">
        <f>B10</f>
        <v>-11101</v>
      </c>
      <c r="I6" s="3" t="str">
        <f t="shared" si="1"/>
        <v>0001110101011010</v>
      </c>
      <c r="J6">
        <f t="shared" si="2"/>
        <v>7514</v>
      </c>
      <c r="K6">
        <f t="shared" si="3"/>
        <v>0</v>
      </c>
      <c r="L6">
        <f t="shared" si="4"/>
        <v>0</v>
      </c>
      <c r="M6">
        <f t="shared" si="5"/>
        <v>0</v>
      </c>
      <c r="N6">
        <f t="shared" si="6"/>
        <v>0</v>
      </c>
      <c r="O6">
        <f t="shared" si="7"/>
        <v>1</v>
      </c>
      <c r="P6">
        <f t="shared" si="8"/>
        <v>0</v>
      </c>
      <c r="Q6" t="str">
        <f t="shared" si="9"/>
        <v>Результат получен без переполнения (OF=0). Переноса нет (CF=0). Результат не равен нулю (ZF=0). Результат положительный (SF=0). Чётная чётность младшего байта (PF=1). Вспомогательного переноса нет (AF=0).</v>
      </c>
    </row>
    <row r="7" spans="1:17">
      <c r="A7" t="s">
        <v>5</v>
      </c>
      <c r="B7">
        <f>B1+2*B2</f>
        <v>48331</v>
      </c>
      <c r="C7" t="str">
        <f>_xlfn.BASE(MOD(B7,65536),2,16)</f>
        <v>1011110011001011</v>
      </c>
      <c r="F7" s="3" t="s">
        <v>23</v>
      </c>
      <c r="G7" s="5">
        <f>B10</f>
        <v>-11101</v>
      </c>
      <c r="H7" s="5">
        <f>B11</f>
        <v>-18615</v>
      </c>
      <c r="I7" s="3" t="str">
        <f t="shared" si="1"/>
        <v>1000101111101100</v>
      </c>
      <c r="J7">
        <f t="shared" si="2"/>
        <v>-29716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1</v>
      </c>
      <c r="O7">
        <f t="shared" si="7"/>
        <v>0</v>
      </c>
      <c r="P7">
        <f t="shared" si="8"/>
        <v>0</v>
      </c>
      <c r="Q7" t="str">
        <f t="shared" si="9"/>
        <v>Результат получен без переполнения (OF=0). Переноса нет (CF=0). Результат не равен нулю (ZF=0). Результат отрицательный (SF=1). Нечётная чётность младшего байта (PF=0). Вспомогательного переноса нет (AF=0).</v>
      </c>
    </row>
    <row r="8" spans="1:17">
      <c r="A8" t="s">
        <v>6</v>
      </c>
      <c r="B8">
        <f>B2-B1</f>
        <v>7514</v>
      </c>
      <c r="C8" t="str">
        <f t="shared" si="0"/>
        <v>0001110101011010</v>
      </c>
      <c r="F8" s="3" t="s">
        <v>24</v>
      </c>
      <c r="G8" s="5">
        <f>B11</f>
        <v>-18615</v>
      </c>
      <c r="H8" s="5">
        <f>B12</f>
        <v>-29716</v>
      </c>
      <c r="I8" s="3" t="str">
        <f t="shared" si="1"/>
        <v>0100001100110101</v>
      </c>
      <c r="J8">
        <f t="shared" si="2"/>
        <v>17205</v>
      </c>
      <c r="K8">
        <f t="shared" si="3"/>
        <v>0</v>
      </c>
      <c r="L8">
        <f t="shared" si="4"/>
        <v>1</v>
      </c>
      <c r="M8">
        <f t="shared" si="5"/>
        <v>0</v>
      </c>
      <c r="N8">
        <f t="shared" si="6"/>
        <v>0</v>
      </c>
      <c r="O8">
        <f t="shared" si="7"/>
        <v>1</v>
      </c>
      <c r="P8">
        <f t="shared" si="8"/>
        <v>1</v>
      </c>
      <c r="Q8" t="str">
        <f t="shared" si="9"/>
        <v>Результат получен с переполнением (OF=1). Переноса нет (CF=0). Результат не равен нулю (ZF=0). Результат положительный (SF=0). Чётная чётность младшего байта (PF=1). Есть вспомогательный перенос (AF=1).</v>
      </c>
    </row>
    <row r="9" spans="1:17">
      <c r="A9" t="s">
        <v>7</v>
      </c>
      <c r="B9">
        <f>65536-B7</f>
        <v>17205</v>
      </c>
      <c r="C9" t="str">
        <f t="shared" si="0"/>
        <v>0100001100110101</v>
      </c>
      <c r="F9" s="3" t="s">
        <v>25</v>
      </c>
      <c r="G9" s="5">
        <f>B4</f>
        <v>11101</v>
      </c>
      <c r="H9" s="5">
        <f>B11</f>
        <v>-18615</v>
      </c>
      <c r="I9" s="3" t="str">
        <f t="shared" si="1"/>
        <v>1110001010100110</v>
      </c>
      <c r="J9">
        <f t="shared" si="2"/>
        <v>-7514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1</v>
      </c>
      <c r="O9">
        <f t="shared" si="7"/>
        <v>1</v>
      </c>
      <c r="P9">
        <f t="shared" si="8"/>
        <v>1</v>
      </c>
      <c r="Q9" t="str">
        <f t="shared" si="9"/>
        <v>Результат получен без переполнения (OF=0). Переноса нет (CF=0). Результат не равен нулю (ZF=0). Результат отрицательный (SF=1). Чётная чётность младшего байта (PF=1). Есть вспомогательный перенос (AF=1).</v>
      </c>
    </row>
    <row r="10" spans="1:17">
      <c r="A10" t="s">
        <v>8</v>
      </c>
      <c r="B10">
        <f t="shared" ref="B10:B15" si="10">-B4</f>
        <v>-11101</v>
      </c>
      <c r="C10" t="str">
        <f t="shared" si="0"/>
        <v>1101010010100011</v>
      </c>
      <c r="F10" s="3" t="s">
        <v>26</v>
      </c>
      <c r="G10" s="5">
        <f>B14</f>
        <v>-7514</v>
      </c>
      <c r="H10" s="5">
        <f>B6</f>
        <v>29716</v>
      </c>
      <c r="I10" s="3" t="str">
        <f t="shared" si="1"/>
        <v>0101011010111010</v>
      </c>
      <c r="J10">
        <f t="shared" si="2"/>
        <v>22202</v>
      </c>
      <c r="K10">
        <f t="shared" si="3"/>
        <v>0</v>
      </c>
      <c r="L10">
        <f t="shared" si="4"/>
        <v>0</v>
      </c>
      <c r="M10">
        <f t="shared" si="5"/>
        <v>0</v>
      </c>
      <c r="N10">
        <f t="shared" si="6"/>
        <v>0</v>
      </c>
      <c r="O10">
        <f t="shared" si="7"/>
        <v>0</v>
      </c>
      <c r="P10">
        <f t="shared" si="8"/>
        <v>0</v>
      </c>
      <c r="Q10" t="str">
        <f t="shared" si="9"/>
        <v>Результат получен без переполнения (OF=0). Переноса нет (CF=0). Результат не равен нулю (ZF=0). Результат положительный (SF=0). Нечётная чётность младшего байта (PF=0). Вспомогательного переноса нет (AF=0).</v>
      </c>
    </row>
    <row r="11" spans="1:17">
      <c r="A11" t="s">
        <v>9</v>
      </c>
      <c r="B11">
        <f t="shared" si="10"/>
        <v>-18615</v>
      </c>
      <c r="C11" t="str">
        <f t="shared" si="0"/>
        <v>1011011101001001</v>
      </c>
    </row>
    <row r="12" spans="1:17">
      <c r="A12" t="s">
        <v>10</v>
      </c>
      <c r="B12">
        <f t="shared" si="10"/>
        <v>-29716</v>
      </c>
      <c r="C12" t="str">
        <f t="shared" si="0"/>
        <v>1000101111101100</v>
      </c>
    </row>
    <row r="13" spans="1:17">
      <c r="A13" t="s">
        <v>11</v>
      </c>
      <c r="B13">
        <f t="shared" si="10"/>
        <v>-48331</v>
      </c>
      <c r="C13" t="str">
        <f t="shared" si="0"/>
        <v>0100001100110101</v>
      </c>
    </row>
    <row r="14" spans="1:17">
      <c r="A14" t="s">
        <v>12</v>
      </c>
      <c r="B14">
        <f t="shared" si="10"/>
        <v>-7514</v>
      </c>
      <c r="C14" t="str">
        <f t="shared" si="0"/>
        <v>1110001010100110</v>
      </c>
    </row>
    <row r="15" spans="1:17">
      <c r="A15" t="s">
        <v>13</v>
      </c>
      <c r="B15">
        <f t="shared" si="10"/>
        <v>-17205</v>
      </c>
      <c r="C15" t="str">
        <f t="shared" si="0"/>
        <v>1011110011001011</v>
      </c>
    </row>
  </sheetData>
  <phoneticPr fontId="2" type="noConversion"/>
  <conditionalFormatting sqref="C4:C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abaafaa</dc:creator>
  <cp:lastModifiedBy>abaafaa /</cp:lastModifiedBy>
  <dcterms:created xsi:type="dcterms:W3CDTF">2015-06-05T18:17:20Z</dcterms:created>
  <dcterms:modified xsi:type="dcterms:W3CDTF">2025-12-22T08:15:59Z</dcterms:modified>
</cp:coreProperties>
</file>